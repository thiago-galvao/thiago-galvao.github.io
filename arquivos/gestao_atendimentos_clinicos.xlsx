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o\Downloads\"/>
    </mc:Choice>
  </mc:AlternateContent>
  <xr:revisionPtr revIDLastSave="0" documentId="13_ncr:1_{C0146B40-7F7D-4972-8CE7-14A6A0F13F3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talogo_Servicos" sheetId="1" r:id="rId1"/>
    <sheet name="Registro_Atendimentos" sheetId="2" r:id="rId2"/>
    <sheet name="Painel_Dinamico_Clinica" sheetId="3" r:id="rId3"/>
  </sheets>
  <definedNames>
    <definedName name="_xlnm._FilterDatabase" localSheetId="1" hidden="1">Registro_Atendimentos!$A$3:$J$23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3" l="1"/>
  <c r="E4" i="3" l="1"/>
</calcChain>
</file>

<file path=xl/sharedStrings.xml><?xml version="1.0" encoding="utf-8"?>
<sst xmlns="http://schemas.openxmlformats.org/spreadsheetml/2006/main" count="80" uniqueCount="48">
  <si>
    <t>CATÁLOGO DE SERVIÇOS E ESPECIALIDADES MÉDICAS</t>
  </si>
  <si>
    <t>Código do Procedimento</t>
  </si>
  <si>
    <t>Descrição do Atendimento</t>
  </si>
  <si>
    <t>Especialidade</t>
  </si>
  <si>
    <t>Valor Consulta/Exame (R$)</t>
  </si>
  <si>
    <t>MED01</t>
  </si>
  <si>
    <t>Consulta Cardiológica</t>
  </si>
  <si>
    <t>Cardiologia</t>
  </si>
  <si>
    <t>MED02</t>
  </si>
  <si>
    <t>Eletrocardiograma (ECG)</t>
  </si>
  <si>
    <t>MED03</t>
  </si>
  <si>
    <t>Consulta Dermatológica</t>
  </si>
  <si>
    <t>Dermatologia</t>
  </si>
  <si>
    <t>MED04</t>
  </si>
  <si>
    <t>Biópsia de Lesão Cutânea</t>
  </si>
  <si>
    <t>MED05</t>
  </si>
  <si>
    <t>Consulta Ortopédica</t>
  </si>
  <si>
    <t>Ortopedia</t>
  </si>
  <si>
    <t>MED06</t>
  </si>
  <si>
    <t>Ressonância Magnética Articular</t>
  </si>
  <si>
    <t>Radiologia</t>
  </si>
  <si>
    <t>MED07</t>
  </si>
  <si>
    <t>Consulta Oftalmológica Completa</t>
  </si>
  <si>
    <t>Oftalmologia</t>
  </si>
  <si>
    <t>MED08</t>
  </si>
  <si>
    <t>Mapeamento de Retina</t>
  </si>
  <si>
    <t>REGISTRO DE ATENDIMENTOS E FATURAMENTO CLÍNICO</t>
  </si>
  <si>
    <t>Nº Prontuário</t>
  </si>
  <si>
    <t>Data Atendimento</t>
  </si>
  <si>
    <t>Cód. Procedimento</t>
  </si>
  <si>
    <t>Procedimento (PROCV)</t>
  </si>
  <si>
    <t>Valor Base (PROCV)</t>
  </si>
  <si>
    <t>Qtd Procedimentos</t>
  </si>
  <si>
    <t>Faturamento Total (R$)</t>
  </si>
  <si>
    <t>Dia</t>
  </si>
  <si>
    <t>Mês</t>
  </si>
  <si>
    <t>Ano</t>
  </si>
  <si>
    <t>Total Geral:</t>
  </si>
  <si>
    <t>PAINEL DE ANÁLISE TEMPORAL E INDICADORES CLÍNICOS</t>
  </si>
  <si>
    <t>FILTRO TEMPORAL INTERATIVO (Altere as células destacadas):</t>
  </si>
  <si>
    <t>Ano de Referência:</t>
  </si>
  <si>
    <t>Mês de Referência:</t>
  </si>
  <si>
    <t>CICLO DE VIDA E RENDIMENTO POR PROCEDIMENTO MÉDICO</t>
  </si>
  <si>
    <t>Descrição do Procedimento (PROCV)</t>
  </si>
  <si>
    <t>Faturamento no Ano(SOMASE):</t>
  </si>
  <si>
    <t>Faturamento no Mês/Ano(SOMASE):</t>
  </si>
  <si>
    <t>Qtd Atendimentos (SOMASE)</t>
  </si>
  <si>
    <t>Receita Gerada (R$) (SOMASE)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</si>
</sst>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4"/>
      <color rgb="FF164E63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64E63"/>
        <bgColor rgb="FF164E63"/>
      </patternFill>
    </fill>
    <fill>
      <patternFill patternType="solid">
        <fgColor rgb="FFF0FDFA"/>
        <bgColor rgb="FFF0FDFA"/>
      </patternFill>
    </fill>
    <fill>
      <patternFill patternType="solid">
        <fgColor rgb="FFCFFAFE"/>
        <bgColor rgb="FFCFFAFE"/>
      </patternFill>
    </fill>
    <fill>
      <patternFill patternType="solid">
        <fgColor rgb="FF0E7490"/>
        <bgColor rgb="FF0E749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4" fontId="3" fillId="3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0" fontId="4" fillId="0" borderId="0" xfId="0" applyFont="1"/>
    <xf numFmtId="0" fontId="3" fillId="0" borderId="0" xfId="0" applyFont="1"/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  <xf numFmtId="0" fontId="0" fillId="0" borderId="0" xfId="0" applyAlignment="1"/>
    <xf numFmtId="164" fontId="4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45" zoomScaleNormal="145" workbookViewId="0">
      <selection sqref="A1:D1"/>
    </sheetView>
  </sheetViews>
  <sheetFormatPr defaultRowHeight="15" x14ac:dyDescent="0.25"/>
  <cols>
    <col min="1" max="1" width="26" customWidth="1"/>
    <col min="2" max="2" width="35" customWidth="1"/>
    <col min="3" max="3" width="17" customWidth="1"/>
    <col min="4" max="4" width="29" customWidth="1"/>
  </cols>
  <sheetData>
    <row r="1" spans="1:4" ht="18.75" x14ac:dyDescent="0.25">
      <c r="A1" s="17" t="s">
        <v>0</v>
      </c>
      <c r="B1" s="18"/>
      <c r="C1" s="18"/>
      <c r="D1" s="18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3" t="s">
        <v>6</v>
      </c>
      <c r="C4" s="3" t="s">
        <v>7</v>
      </c>
      <c r="D4" s="4">
        <v>350</v>
      </c>
    </row>
    <row r="5" spans="1:4" x14ac:dyDescent="0.25">
      <c r="A5" s="5" t="s">
        <v>8</v>
      </c>
      <c r="B5" s="6" t="s">
        <v>9</v>
      </c>
      <c r="C5" s="6" t="s">
        <v>7</v>
      </c>
      <c r="D5" s="7">
        <v>180</v>
      </c>
    </row>
    <row r="6" spans="1:4" x14ac:dyDescent="0.25">
      <c r="A6" s="2" t="s">
        <v>10</v>
      </c>
      <c r="B6" s="3" t="s">
        <v>11</v>
      </c>
      <c r="C6" s="3" t="s">
        <v>12</v>
      </c>
      <c r="D6" s="4">
        <v>320</v>
      </c>
    </row>
    <row r="7" spans="1:4" x14ac:dyDescent="0.25">
      <c r="A7" s="5" t="s">
        <v>13</v>
      </c>
      <c r="B7" s="6" t="s">
        <v>14</v>
      </c>
      <c r="C7" s="6" t="s">
        <v>12</v>
      </c>
      <c r="D7" s="7">
        <v>450</v>
      </c>
    </row>
    <row r="8" spans="1:4" x14ac:dyDescent="0.25">
      <c r="A8" s="2" t="s">
        <v>15</v>
      </c>
      <c r="B8" s="3" t="s">
        <v>16</v>
      </c>
      <c r="C8" s="3" t="s">
        <v>17</v>
      </c>
      <c r="D8" s="4">
        <v>300</v>
      </c>
    </row>
    <row r="9" spans="1:4" x14ac:dyDescent="0.25">
      <c r="A9" s="5" t="s">
        <v>18</v>
      </c>
      <c r="B9" s="6" t="s">
        <v>19</v>
      </c>
      <c r="C9" s="6" t="s">
        <v>20</v>
      </c>
      <c r="D9" s="7">
        <v>850</v>
      </c>
    </row>
    <row r="10" spans="1:4" x14ac:dyDescent="0.25">
      <c r="A10" s="2" t="s">
        <v>21</v>
      </c>
      <c r="B10" s="3" t="s">
        <v>22</v>
      </c>
      <c r="C10" s="3" t="s">
        <v>23</v>
      </c>
      <c r="D10" s="4">
        <v>280</v>
      </c>
    </row>
    <row r="11" spans="1:4" x14ac:dyDescent="0.25">
      <c r="A11" s="5" t="s">
        <v>24</v>
      </c>
      <c r="B11" s="6" t="s">
        <v>25</v>
      </c>
      <c r="C11" s="6" t="s">
        <v>23</v>
      </c>
      <c r="D11" s="7">
        <v>220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activeCell="K2" sqref="K1:K1048576"/>
    </sheetView>
  </sheetViews>
  <sheetFormatPr defaultRowHeight="15" x14ac:dyDescent="0.25"/>
  <cols>
    <col min="1" max="1" width="17" customWidth="1"/>
    <col min="2" max="2" width="20" customWidth="1"/>
    <col min="3" max="3" width="21" customWidth="1"/>
    <col min="4" max="4" width="27.85546875" customWidth="1"/>
    <col min="5" max="5" width="23.5703125" customWidth="1"/>
    <col min="6" max="6" width="21" customWidth="1"/>
    <col min="7" max="7" width="26" customWidth="1"/>
    <col min="8" max="8" width="13" customWidth="1"/>
    <col min="9" max="9" width="15" customWidth="1"/>
    <col min="10" max="10" width="14" customWidth="1"/>
  </cols>
  <sheetData>
    <row r="1" spans="1:10" ht="18.75" x14ac:dyDescent="0.25">
      <c r="A1" s="17" t="s">
        <v>26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</row>
    <row r="4" spans="1:10" x14ac:dyDescent="0.25">
      <c r="A4" s="2">
        <v>501</v>
      </c>
      <c r="B4" s="8">
        <v>44936</v>
      </c>
      <c r="C4" s="2" t="s">
        <v>5</v>
      </c>
      <c r="D4" s="3"/>
      <c r="E4" s="4"/>
      <c r="F4" s="2">
        <v>1</v>
      </c>
      <c r="G4" s="4"/>
      <c r="H4" s="2"/>
      <c r="I4" s="2"/>
      <c r="J4" s="2"/>
    </row>
    <row r="5" spans="1:10" x14ac:dyDescent="0.25">
      <c r="A5" s="5">
        <v>502</v>
      </c>
      <c r="B5" s="9">
        <v>44941</v>
      </c>
      <c r="C5" s="5" t="s">
        <v>8</v>
      </c>
      <c r="D5" s="6"/>
      <c r="E5" s="7"/>
      <c r="F5" s="5">
        <v>1</v>
      </c>
      <c r="G5" s="7"/>
      <c r="H5" s="5"/>
      <c r="I5" s="5"/>
      <c r="J5" s="5"/>
    </row>
    <row r="6" spans="1:10" x14ac:dyDescent="0.25">
      <c r="A6" s="2">
        <v>503</v>
      </c>
      <c r="B6" s="8">
        <v>44954</v>
      </c>
      <c r="C6" s="2" t="s">
        <v>10</v>
      </c>
      <c r="D6" s="3"/>
      <c r="E6" s="4"/>
      <c r="F6" s="2">
        <v>1</v>
      </c>
      <c r="G6" s="4"/>
      <c r="H6" s="2"/>
      <c r="I6" s="2"/>
      <c r="J6" s="2"/>
    </row>
    <row r="7" spans="1:10" x14ac:dyDescent="0.25">
      <c r="A7" s="5">
        <v>504</v>
      </c>
      <c r="B7" s="9">
        <v>44965</v>
      </c>
      <c r="C7" s="5" t="s">
        <v>5</v>
      </c>
      <c r="D7" s="6"/>
      <c r="E7" s="7"/>
      <c r="F7" s="5">
        <v>2</v>
      </c>
      <c r="G7" s="7"/>
      <c r="H7" s="5"/>
      <c r="I7" s="5"/>
      <c r="J7" s="5"/>
    </row>
    <row r="8" spans="1:10" x14ac:dyDescent="0.25">
      <c r="A8" s="2">
        <v>505</v>
      </c>
      <c r="B8" s="8">
        <v>44979</v>
      </c>
      <c r="C8" s="2" t="s">
        <v>15</v>
      </c>
      <c r="D8" s="3"/>
      <c r="E8" s="4"/>
      <c r="F8" s="2">
        <v>1</v>
      </c>
      <c r="G8" s="4"/>
      <c r="H8" s="2"/>
      <c r="I8" s="2"/>
      <c r="J8" s="2"/>
    </row>
    <row r="9" spans="1:10" x14ac:dyDescent="0.25">
      <c r="A9" s="5">
        <v>506</v>
      </c>
      <c r="B9" s="9">
        <v>44997</v>
      </c>
      <c r="C9" s="5" t="s">
        <v>18</v>
      </c>
      <c r="D9" s="6"/>
      <c r="E9" s="7"/>
      <c r="F9" s="5">
        <v>1</v>
      </c>
      <c r="G9" s="7"/>
      <c r="H9" s="5"/>
      <c r="I9" s="5"/>
      <c r="J9" s="5"/>
    </row>
    <row r="10" spans="1:10" x14ac:dyDescent="0.25">
      <c r="A10" s="2">
        <v>507</v>
      </c>
      <c r="B10" s="8">
        <v>45010</v>
      </c>
      <c r="C10" s="2" t="s">
        <v>21</v>
      </c>
      <c r="D10" s="3"/>
      <c r="E10" s="4"/>
      <c r="F10" s="2">
        <v>2</v>
      </c>
      <c r="G10" s="4"/>
      <c r="H10" s="2"/>
      <c r="I10" s="2"/>
      <c r="J10" s="2"/>
    </row>
    <row r="11" spans="1:10" x14ac:dyDescent="0.25">
      <c r="A11" s="5">
        <v>508</v>
      </c>
      <c r="B11" s="9">
        <v>45025</v>
      </c>
      <c r="C11" s="5" t="s">
        <v>13</v>
      </c>
      <c r="D11" s="6"/>
      <c r="E11" s="7"/>
      <c r="F11" s="5">
        <v>1</v>
      </c>
      <c r="G11" s="7"/>
      <c r="H11" s="5"/>
      <c r="I11" s="5"/>
      <c r="J11" s="5"/>
    </row>
    <row r="12" spans="1:10" x14ac:dyDescent="0.25">
      <c r="A12" s="2">
        <v>509</v>
      </c>
      <c r="B12" s="8">
        <v>45060</v>
      </c>
      <c r="C12" s="2" t="s">
        <v>8</v>
      </c>
      <c r="D12" s="3"/>
      <c r="E12" s="4"/>
      <c r="F12" s="2">
        <v>3</v>
      </c>
      <c r="G12" s="4"/>
      <c r="H12" s="2"/>
      <c r="I12" s="2"/>
      <c r="J12" s="2"/>
    </row>
    <row r="13" spans="1:10" x14ac:dyDescent="0.25">
      <c r="A13" s="5">
        <v>510</v>
      </c>
      <c r="B13" s="9">
        <v>45097</v>
      </c>
      <c r="C13" s="5" t="s">
        <v>24</v>
      </c>
      <c r="D13" s="6"/>
      <c r="E13" s="7"/>
      <c r="F13" s="5">
        <v>2</v>
      </c>
      <c r="G13" s="7"/>
      <c r="H13" s="5"/>
      <c r="I13" s="5"/>
      <c r="J13" s="5"/>
    </row>
    <row r="14" spans="1:10" x14ac:dyDescent="0.25">
      <c r="A14" s="2">
        <v>511</v>
      </c>
      <c r="B14" s="8">
        <v>45112</v>
      </c>
      <c r="C14" s="2" t="s">
        <v>10</v>
      </c>
      <c r="D14" s="3"/>
      <c r="E14" s="4"/>
      <c r="F14" s="2">
        <v>2</v>
      </c>
      <c r="G14" s="4"/>
      <c r="H14" s="2"/>
      <c r="I14" s="2"/>
      <c r="J14" s="2"/>
    </row>
    <row r="15" spans="1:10" x14ac:dyDescent="0.25">
      <c r="A15" s="5">
        <v>512</v>
      </c>
      <c r="B15" s="9">
        <v>45156</v>
      </c>
      <c r="C15" s="5" t="s">
        <v>15</v>
      </c>
      <c r="D15" s="6"/>
      <c r="E15" s="7"/>
      <c r="F15" s="5">
        <v>2</v>
      </c>
      <c r="G15" s="7"/>
      <c r="H15" s="5"/>
      <c r="I15" s="5"/>
      <c r="J15" s="5"/>
    </row>
    <row r="16" spans="1:10" x14ac:dyDescent="0.25">
      <c r="A16" s="2">
        <v>513</v>
      </c>
      <c r="B16" s="8">
        <v>45198</v>
      </c>
      <c r="C16" s="2" t="s">
        <v>18</v>
      </c>
      <c r="D16" s="3"/>
      <c r="E16" s="4"/>
      <c r="F16" s="2">
        <v>2</v>
      </c>
      <c r="G16" s="4"/>
      <c r="H16" s="2"/>
      <c r="I16" s="2"/>
      <c r="J16" s="2"/>
    </row>
    <row r="17" spans="1:10" x14ac:dyDescent="0.25">
      <c r="A17" s="5">
        <v>514</v>
      </c>
      <c r="B17" s="9">
        <v>45210</v>
      </c>
      <c r="C17" s="5" t="s">
        <v>21</v>
      </c>
      <c r="D17" s="6"/>
      <c r="E17" s="7"/>
      <c r="F17" s="5">
        <v>1</v>
      </c>
      <c r="G17" s="7"/>
      <c r="H17" s="5"/>
      <c r="I17" s="5"/>
      <c r="J17" s="5"/>
    </row>
    <row r="18" spans="1:10" x14ac:dyDescent="0.25">
      <c r="A18" s="2">
        <v>515</v>
      </c>
      <c r="B18" s="8">
        <v>45253</v>
      </c>
      <c r="C18" s="2" t="s">
        <v>5</v>
      </c>
      <c r="D18" s="3"/>
      <c r="E18" s="4"/>
      <c r="F18" s="2">
        <v>1</v>
      </c>
      <c r="G18" s="4"/>
      <c r="H18" s="2"/>
      <c r="I18" s="2"/>
      <c r="J18" s="2"/>
    </row>
    <row r="19" spans="1:10" x14ac:dyDescent="0.25">
      <c r="A19" s="5">
        <v>516</v>
      </c>
      <c r="B19" s="9">
        <v>45279</v>
      </c>
      <c r="C19" s="5" t="s">
        <v>24</v>
      </c>
      <c r="D19" s="6"/>
      <c r="E19" s="7"/>
      <c r="F19" s="5">
        <v>1</v>
      </c>
      <c r="G19" s="7"/>
      <c r="H19" s="5"/>
      <c r="I19" s="5"/>
      <c r="J19" s="5"/>
    </row>
    <row r="20" spans="1:10" x14ac:dyDescent="0.25">
      <c r="A20" s="2">
        <v>517</v>
      </c>
      <c r="B20" s="8">
        <v>45305</v>
      </c>
      <c r="C20" s="2" t="s">
        <v>13</v>
      </c>
      <c r="D20" s="3"/>
      <c r="E20" s="4"/>
      <c r="F20" s="2">
        <v>2</v>
      </c>
      <c r="G20" s="4"/>
      <c r="H20" s="2"/>
      <c r="I20" s="2"/>
      <c r="J20" s="2"/>
    </row>
    <row r="21" spans="1:10" x14ac:dyDescent="0.25">
      <c r="A21" s="5">
        <v>518</v>
      </c>
      <c r="B21" s="9">
        <v>45349</v>
      </c>
      <c r="C21" s="5" t="s">
        <v>8</v>
      </c>
      <c r="D21" s="6"/>
      <c r="E21" s="7"/>
      <c r="F21" s="5">
        <v>2</v>
      </c>
      <c r="G21" s="7"/>
      <c r="H21" s="5"/>
      <c r="I21" s="5"/>
      <c r="J21" s="5"/>
    </row>
    <row r="22" spans="1:10" x14ac:dyDescent="0.25">
      <c r="A22" s="2">
        <v>519</v>
      </c>
      <c r="B22" s="8">
        <v>45367</v>
      </c>
      <c r="C22" s="2" t="s">
        <v>15</v>
      </c>
      <c r="D22" s="3"/>
      <c r="E22" s="4"/>
      <c r="F22" s="2">
        <v>1</v>
      </c>
      <c r="G22" s="4"/>
      <c r="H22" s="2"/>
      <c r="I22" s="2"/>
      <c r="J22" s="2"/>
    </row>
    <row r="23" spans="1:10" x14ac:dyDescent="0.25">
      <c r="A23" s="5">
        <v>520</v>
      </c>
      <c r="B23" s="9">
        <v>45403</v>
      </c>
      <c r="C23" s="5" t="s">
        <v>18</v>
      </c>
      <c r="D23" s="6"/>
      <c r="E23" s="7"/>
      <c r="F23" s="5">
        <v>1</v>
      </c>
      <c r="G23" s="7"/>
      <c r="H23" s="5"/>
      <c r="I23" s="5"/>
      <c r="J23" s="5"/>
    </row>
    <row r="24" spans="1:10" ht="15.75" thickBot="1" x14ac:dyDescent="0.3">
      <c r="A24" s="10"/>
      <c r="B24" s="10"/>
      <c r="C24" s="11" t="s">
        <v>37</v>
      </c>
      <c r="D24" s="10"/>
      <c r="E24" s="10"/>
      <c r="F24" s="12"/>
      <c r="G24" s="13"/>
      <c r="H24" s="10"/>
      <c r="I24" s="10"/>
      <c r="J24" s="10"/>
    </row>
  </sheetData>
  <autoFilter ref="A3:J23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D9" sqref="D9"/>
    </sheetView>
  </sheetViews>
  <sheetFormatPr defaultRowHeight="15" x14ac:dyDescent="0.25"/>
  <cols>
    <col min="1" max="1" width="25" customWidth="1"/>
    <col min="2" max="2" width="34" customWidth="1"/>
    <col min="3" max="3" width="27.7109375" customWidth="1"/>
    <col min="4" max="4" width="35.5703125" customWidth="1"/>
  </cols>
  <sheetData>
    <row r="1" spans="1:5" ht="18.75" x14ac:dyDescent="0.25">
      <c r="A1" s="17" t="s">
        <v>38</v>
      </c>
      <c r="B1" s="18"/>
      <c r="C1" s="18"/>
      <c r="D1" s="18"/>
    </row>
    <row r="3" spans="1:5" x14ac:dyDescent="0.25">
      <c r="A3" s="14" t="s">
        <v>39</v>
      </c>
    </row>
    <row r="4" spans="1:5" x14ac:dyDescent="0.25">
      <c r="A4" s="15" t="s">
        <v>40</v>
      </c>
      <c r="B4" s="16">
        <v>2023</v>
      </c>
      <c r="D4" s="14" t="s">
        <v>44</v>
      </c>
      <c r="E4" s="21">
        <f>SUMIFS(Registro_Atendimentos!$G$4:$G$23, Registro_Atendimentos!$J$4:$J$23, B4)</f>
        <v>0</v>
      </c>
    </row>
    <row r="5" spans="1:5" x14ac:dyDescent="0.25">
      <c r="A5" s="15" t="s">
        <v>41</v>
      </c>
      <c r="B5" s="16">
        <v>1</v>
      </c>
      <c r="D5" s="14" t="s">
        <v>45</v>
      </c>
      <c r="E5" s="21">
        <f>SUMIFS(Registro_Atendimentos!$G$4:$G$23, Registro_Atendimentos!$J$4:$J$23, B4, Registro_Atendimentos!$I$4:$I$23, B5)</f>
        <v>0</v>
      </c>
    </row>
    <row r="7" spans="1:5" x14ac:dyDescent="0.25">
      <c r="A7" s="14" t="s">
        <v>42</v>
      </c>
    </row>
    <row r="8" spans="1:5" s="20" customFormat="1" x14ac:dyDescent="0.25">
      <c r="A8" s="19" t="s">
        <v>29</v>
      </c>
      <c r="B8" s="19" t="s">
        <v>43</v>
      </c>
      <c r="C8" s="19" t="s">
        <v>46</v>
      </c>
      <c r="D8" s="19" t="s">
        <v>47</v>
      </c>
    </row>
    <row r="9" spans="1:5" x14ac:dyDescent="0.25">
      <c r="A9" s="5" t="s">
        <v>5</v>
      </c>
      <c r="B9" s="6"/>
      <c r="C9" s="5"/>
      <c r="D9" s="7"/>
    </row>
    <row r="10" spans="1:5" x14ac:dyDescent="0.25">
      <c r="A10" s="2" t="s">
        <v>8</v>
      </c>
      <c r="B10" s="3"/>
      <c r="C10" s="2"/>
      <c r="D10" s="4"/>
    </row>
    <row r="11" spans="1:5" x14ac:dyDescent="0.25">
      <c r="A11" s="5" t="s">
        <v>10</v>
      </c>
      <c r="B11" s="6"/>
      <c r="C11" s="5"/>
      <c r="D11" s="7"/>
    </row>
    <row r="12" spans="1:5" x14ac:dyDescent="0.25">
      <c r="A12" s="2" t="s">
        <v>13</v>
      </c>
      <c r="B12" s="3"/>
      <c r="C12" s="2"/>
      <c r="D12" s="4"/>
    </row>
    <row r="13" spans="1:5" x14ac:dyDescent="0.25">
      <c r="A13" s="5" t="s">
        <v>15</v>
      </c>
      <c r="B13" s="6"/>
      <c r="C13" s="5"/>
      <c r="D13" s="7"/>
    </row>
    <row r="14" spans="1:5" x14ac:dyDescent="0.25">
      <c r="A14" s="2" t="s">
        <v>18</v>
      </c>
      <c r="B14" s="3"/>
      <c r="C14" s="2"/>
      <c r="D14" s="4"/>
    </row>
    <row r="15" spans="1:5" x14ac:dyDescent="0.25">
      <c r="A15" s="5" t="s">
        <v>21</v>
      </c>
      <c r="B15" s="6"/>
      <c r="C15" s="5"/>
      <c r="D15" s="7"/>
    </row>
    <row r="16" spans="1:5" x14ac:dyDescent="0.25">
      <c r="A16" s="2" t="s">
        <v>24</v>
      </c>
      <c r="B16" s="3"/>
      <c r="C16" s="2"/>
      <c r="D16" s="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Catalogo_Servicos</vt:lpstr>
      <vt:lpstr>Registro_Atendimentos</vt:lpstr>
      <vt:lpstr>Painel_Dinamico_Clinica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Galvão</cp:lastModifiedBy>
  <dcterms:created xsi:type="dcterms:W3CDTF">2026-10-27T16:54:40Z</dcterms:created>
  <dcterms:modified xsi:type="dcterms:W3CDTF">2026-10-27T16:59:49Z</dcterms:modified>
</cp:coreProperties>
</file>